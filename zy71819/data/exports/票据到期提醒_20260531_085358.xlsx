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票据明细" sheetId="2" r:id="rId2"/>
    <sheet name="操作历史" sheetId="3" r:id="rId3"/>
    <sheet name="复核记录" sheetId="4" r:id="rId4"/>
    <sheet name="证据明细" sheetId="5" r:id="rId5"/>
  </sheets>
  <calcPr calcId="124519" fullCalcOnLoad="1"/>
</workbook>
</file>

<file path=xl/sharedStrings.xml><?xml version="1.0" encoding="utf-8"?>
<sst xmlns="http://schemas.openxmlformats.org/spreadsheetml/2006/main" count="163" uniqueCount="94">
  <si>
    <t>票据到期提醒汇总表</t>
  </si>
  <si>
    <t>导出时间</t>
  </si>
  <si>
    <t>总记录数</t>
  </si>
  <si>
    <t>总金额</t>
  </si>
  <si>
    <t>30天内到期</t>
  </si>
  <si>
    <t>已逾期</t>
  </si>
  <si>
    <t>状态分布</t>
  </si>
  <si>
    <t>状态</t>
  </si>
  <si>
    <t>已修正</t>
  </si>
  <si>
    <t>正常</t>
  </si>
  <si>
    <t>已复核</t>
  </si>
  <si>
    <t>待确认</t>
  </si>
  <si>
    <t>异常分布</t>
  </si>
  <si>
    <t>异常类型</t>
  </si>
  <si>
    <t>手续费跨期</t>
  </si>
  <si>
    <t>2026-05-31 08:54:02</t>
  </si>
  <si>
    <t>数量</t>
  </si>
  <si>
    <t>ID</t>
  </si>
  <si>
    <t>票据号</t>
  </si>
  <si>
    <t>票据日期</t>
  </si>
  <si>
    <t>到期日期</t>
  </si>
  <si>
    <t>金额</t>
  </si>
  <si>
    <t>手续费</t>
  </si>
  <si>
    <t>付款方</t>
  </si>
  <si>
    <t>收款方</t>
  </si>
  <si>
    <t>流水号</t>
  </si>
  <si>
    <t>银行账号</t>
  </si>
  <si>
    <t>异常原因</t>
  </si>
  <si>
    <t>来源文件</t>
  </si>
  <si>
    <t>关联对账单ID</t>
  </si>
  <si>
    <t>关联票据ID</t>
  </si>
  <si>
    <t>备注</t>
  </si>
  <si>
    <t>创建时间</t>
  </si>
  <si>
    <t>可追溯链接</t>
  </si>
  <si>
    <t>TEST001</t>
  </si>
  <si>
    <t>TEST002</t>
  </si>
  <si>
    <t>TEST003</t>
  </si>
  <si>
    <t>TEST004</t>
  </si>
  <si>
    <t>2026-05-01</t>
  </si>
  <si>
    <t>2026-07-30</t>
  </si>
  <si>
    <t>2026-12-17</t>
  </si>
  <si>
    <t>测试公司1</t>
  </si>
  <si>
    <t>测试公司2</t>
  </si>
  <si>
    <t>退款挂账处理中</t>
  </si>
  <si>
    <t>测试公司4</t>
  </si>
  <si>
    <t>本公司</t>
  </si>
  <si>
    <t>SER001</t>
  </si>
  <si>
    <t>SER003</t>
  </si>
  <si>
    <t>SER004</t>
  </si>
  <si>
    <t>622202123456789001</t>
  </si>
  <si>
    <t>622202123456789002</t>
  </si>
  <si>
    <t>622202123456789003</t>
  </si>
  <si>
    <t>622202123456789004</t>
  </si>
  <si>
    <t>无异常</t>
  </si>
  <si>
    <t>手续费跨期风险：票据日期2026-05-01与到期日期2026-12-17间隔230天，超过90天跨期阈值</t>
  </si>
  <si>
    <t>测试数据</t>
  </si>
  <si>
    <t>修正金额</t>
  </si>
  <si>
    <t>2026-05-31 08:53:49</t>
  </si>
  <si>
    <t>票据ID</t>
  </si>
  <si>
    <t>操作类型</t>
  </si>
  <si>
    <t>修改字段</t>
  </si>
  <si>
    <t>原值</t>
  </si>
  <si>
    <t>新值</t>
  </si>
  <si>
    <t>操作人</t>
  </si>
  <si>
    <t>操作时间</t>
  </si>
  <si>
    <t>revise</t>
  </si>
  <si>
    <t>confirm</t>
  </si>
  <si>
    <t>50000.0</t>
  </si>
  <si>
    <t>51000.0</t>
  </si>
  <si>
    <t>测试员</t>
  </si>
  <si>
    <t>2026-05-31 08:53:51</t>
  </si>
  <si>
    <t>数据修正: 发现金额有误，修正为正确金额</t>
  </si>
  <si>
    <t>发现金额有误，修正为正确金额</t>
  </si>
  <si>
    <t>复核通过: 人工核实无误，数据正确</t>
  </si>
  <si>
    <t>复核操作</t>
  </si>
  <si>
    <t>复核结果</t>
  </si>
  <si>
    <t>复核原因</t>
  </si>
  <si>
    <t>复核依据</t>
  </si>
  <si>
    <t>原状态</t>
  </si>
  <si>
    <t>新状态</t>
  </si>
  <si>
    <t>复核人</t>
  </si>
  <si>
    <t>复核时间</t>
  </si>
  <si>
    <t>confirmed</t>
  </si>
  <si>
    <t>人工核实无误，数据正确</t>
  </si>
  <si>
    <t>对账单2024.xlsx</t>
  </si>
  <si>
    <t>来源类型</t>
  </si>
  <si>
    <t>来源文件名</t>
  </si>
  <si>
    <t>异常原因说明</t>
  </si>
  <si>
    <t>关联对账单号</t>
  </si>
  <si>
    <t>关联对账单来源</t>
  </si>
  <si>
    <t>关联票据号</t>
  </si>
  <si>
    <t>关联票据来源</t>
  </si>
  <si>
    <t>invoice</t>
  </si>
  <si>
    <t>详见复核记录表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</si>
</sst>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2" width="20.7109375" customWidth="1"/>
  </cols>
  <sheetData>
    <row r="1" spans="1:2">
      <c r="A1" t="s">
        <v>0</v>
      </c>
    </row>
    <row r="2" spans="1:2">
      <c r="A2" t="s">
        <v>1</v>
      </c>
      <c r="B2" t="s">
        <v>15</v>
      </c>
    </row>
    <row r="3" spans="1:2">
      <c r="A3" t="s">
        <v>2</v>
      </c>
      <c r="B3">
        <v>4</v>
      </c>
    </row>
    <row r="4" spans="1:2">
      <c r="A4" t="s">
        <v>3</v>
      </c>
      <c r="B4">
        <v>281000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8" spans="1:2">
      <c r="A8" t="s">
        <v>6</v>
      </c>
    </row>
    <row r="9" spans="1:2">
      <c r="A9" t="s">
        <v>7</v>
      </c>
      <c r="B9" t="s">
        <v>16</v>
      </c>
    </row>
    <row r="10" spans="1:2">
      <c r="A10" t="s">
        <v>8</v>
      </c>
      <c r="B10">
        <v>1</v>
      </c>
    </row>
    <row r="11" spans="1:2">
      <c r="A11" t="s">
        <v>9</v>
      </c>
      <c r="B11">
        <v>1</v>
      </c>
    </row>
    <row r="12" spans="1:2">
      <c r="A12" t="s">
        <v>10</v>
      </c>
      <c r="B12">
        <v>1</v>
      </c>
    </row>
    <row r="13" spans="1:2">
      <c r="A13" t="s">
        <v>11</v>
      </c>
      <c r="B13">
        <v>1</v>
      </c>
    </row>
    <row r="15" spans="1:2">
      <c r="A15" t="s">
        <v>12</v>
      </c>
    </row>
    <row r="16" spans="1:2">
      <c r="A16" t="s">
        <v>13</v>
      </c>
      <c r="B16" t="s">
        <v>16</v>
      </c>
    </row>
    <row r="17" spans="1:2">
      <c r="A17" t="s">
        <v>14</v>
      </c>
      <c r="B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4.7109375" customWidth="1"/>
    <col min="2" max="2" width="9.7109375" customWidth="1"/>
    <col min="3" max="4" width="12.7109375" customWidth="1"/>
    <col min="5" max="5" width="10.7109375" customWidth="1"/>
    <col min="6" max="6" width="8.7109375" customWidth="1"/>
    <col min="7" max="7" width="9.7109375" customWidth="1"/>
    <col min="8" max="8" width="5.7109375" customWidth="1"/>
    <col min="9" max="9" width="8.7109375" customWidth="1"/>
    <col min="10" max="10" width="20.7109375" customWidth="1"/>
    <col min="11" max="11" width="5.7109375" customWidth="1"/>
    <col min="12" max="12" width="7.7109375" customWidth="1"/>
    <col min="13" max="13" width="50.7109375" customWidth="1"/>
    <col min="14" max="14" width="6.7109375" customWidth="1"/>
    <col min="15" max="15" width="9.7109375" customWidth="1"/>
    <col min="16" max="16" width="8.7109375" customWidth="1"/>
    <col min="17" max="17" width="6.7109375" customWidth="1"/>
    <col min="18" max="18" width="21.7109375" customWidth="1"/>
    <col min="19" max="19" width="34.7109375" customWidth="1"/>
  </cols>
  <sheetData>
    <row r="1" spans="1:1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7</v>
      </c>
      <c r="L1" s="1" t="s">
        <v>13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 spans="1:19">
      <c r="A2">
        <v>1</v>
      </c>
      <c r="B2" t="s">
        <v>34</v>
      </c>
      <c r="C2" t="s">
        <v>38</v>
      </c>
      <c r="D2" t="s">
        <v>39</v>
      </c>
      <c r="E2">
        <v>51000</v>
      </c>
      <c r="F2">
        <v>300</v>
      </c>
      <c r="G2" t="s">
        <v>41</v>
      </c>
      <c r="H2" t="s">
        <v>45</v>
      </c>
      <c r="I2" t="s">
        <v>46</v>
      </c>
      <c r="J2" t="s">
        <v>49</v>
      </c>
      <c r="K2" t="s">
        <v>8</v>
      </c>
      <c r="L2" t="s">
        <v>53</v>
      </c>
      <c r="N2" t="s">
        <v>55</v>
      </c>
      <c r="Q2" t="s">
        <v>56</v>
      </c>
      <c r="R2" t="s">
        <v>57</v>
      </c>
      <c r="S2">
        <f>HYPERLINK("#证据明细!A2", "点击查看证据")</f>
        <v>0</v>
      </c>
    </row>
    <row r="3" spans="1:19">
      <c r="A3">
        <v>2</v>
      </c>
      <c r="B3" t="s">
        <v>35</v>
      </c>
      <c r="C3" t="s">
        <v>38</v>
      </c>
      <c r="D3" t="s">
        <v>39</v>
      </c>
      <c r="E3">
        <v>50000</v>
      </c>
      <c r="F3">
        <v>300</v>
      </c>
      <c r="G3" t="s">
        <v>42</v>
      </c>
      <c r="H3" t="s">
        <v>45</v>
      </c>
      <c r="I3" t="s">
        <v>46</v>
      </c>
      <c r="J3" t="s">
        <v>50</v>
      </c>
      <c r="K3" t="s">
        <v>9</v>
      </c>
      <c r="L3" t="s">
        <v>53</v>
      </c>
      <c r="N3" t="s">
        <v>55</v>
      </c>
      <c r="R3" t="s">
        <v>57</v>
      </c>
      <c r="S3">
        <f>HYPERLINK("#证据明细!A3", "点击查看证据")</f>
        <v>0</v>
      </c>
    </row>
    <row r="4" spans="1:19">
      <c r="A4">
        <v>3</v>
      </c>
      <c r="B4" t="s">
        <v>36</v>
      </c>
      <c r="C4" t="s">
        <v>38</v>
      </c>
      <c r="D4" t="s">
        <v>39</v>
      </c>
      <c r="E4">
        <v>80000</v>
      </c>
      <c r="F4">
        <v>300</v>
      </c>
      <c r="G4" t="s">
        <v>43</v>
      </c>
      <c r="H4" t="s">
        <v>45</v>
      </c>
      <c r="I4" t="s">
        <v>47</v>
      </c>
      <c r="J4" t="s">
        <v>51</v>
      </c>
      <c r="K4" t="s">
        <v>10</v>
      </c>
      <c r="L4" t="s">
        <v>53</v>
      </c>
      <c r="N4" t="s">
        <v>55</v>
      </c>
      <c r="R4" t="s">
        <v>57</v>
      </c>
      <c r="S4">
        <f>HYPERLINK("#证据明细!A4", "点击查看证据")</f>
        <v>0</v>
      </c>
    </row>
    <row r="5" spans="1:19">
      <c r="A5">
        <v>4</v>
      </c>
      <c r="B5" t="s">
        <v>37</v>
      </c>
      <c r="C5" t="s">
        <v>38</v>
      </c>
      <c r="D5" t="s">
        <v>40</v>
      </c>
      <c r="E5">
        <v>100000</v>
      </c>
      <c r="F5">
        <v>2000</v>
      </c>
      <c r="G5" t="s">
        <v>44</v>
      </c>
      <c r="H5" t="s">
        <v>45</v>
      </c>
      <c r="I5" t="s">
        <v>48</v>
      </c>
      <c r="J5" t="s">
        <v>52</v>
      </c>
      <c r="K5" t="s">
        <v>11</v>
      </c>
      <c r="L5" t="s">
        <v>14</v>
      </c>
      <c r="M5" t="s">
        <v>54</v>
      </c>
      <c r="N5" t="s">
        <v>55</v>
      </c>
      <c r="R5" t="s">
        <v>57</v>
      </c>
      <c r="S5">
        <f>HYPERLINK("#证据明细!A5", "点击查看证据")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6.7109375" customWidth="1"/>
    <col min="2" max="2" width="9.7109375" customWidth="1"/>
    <col min="3" max="3" width="6.7109375" customWidth="1"/>
    <col min="4" max="5" width="9.7109375" customWidth="1"/>
    <col min="6" max="6" width="5.7109375" customWidth="1"/>
    <col min="7" max="7" width="21.7109375" customWidth="1"/>
    <col min="8" max="8" width="22.7109375" customWidth="1"/>
  </cols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31</v>
      </c>
    </row>
    <row r="2" spans="1:8">
      <c r="A2">
        <v>1</v>
      </c>
      <c r="B2" t="s">
        <v>65</v>
      </c>
      <c r="F2" t="s">
        <v>69</v>
      </c>
      <c r="G2" t="s">
        <v>70</v>
      </c>
      <c r="H2" t="s">
        <v>71</v>
      </c>
    </row>
    <row r="3" spans="1:8">
      <c r="A3">
        <v>1</v>
      </c>
      <c r="B3" t="s">
        <v>65</v>
      </c>
      <c r="C3" t="s">
        <v>31</v>
      </c>
      <c r="E3" t="s">
        <v>56</v>
      </c>
      <c r="F3" t="s">
        <v>69</v>
      </c>
      <c r="G3" t="s">
        <v>70</v>
      </c>
      <c r="H3" t="s">
        <v>72</v>
      </c>
    </row>
    <row r="4" spans="1:8">
      <c r="A4">
        <v>1</v>
      </c>
      <c r="B4" t="s">
        <v>65</v>
      </c>
      <c r="C4" t="s">
        <v>21</v>
      </c>
      <c r="D4" t="s">
        <v>67</v>
      </c>
      <c r="E4" t="s">
        <v>68</v>
      </c>
      <c r="F4" t="s">
        <v>69</v>
      </c>
      <c r="G4" t="s">
        <v>70</v>
      </c>
      <c r="H4" t="s">
        <v>72</v>
      </c>
    </row>
    <row r="5" spans="1:8">
      <c r="A5">
        <v>3</v>
      </c>
      <c r="B5" t="s">
        <v>66</v>
      </c>
      <c r="F5" t="s">
        <v>69</v>
      </c>
      <c r="G5" t="s">
        <v>70</v>
      </c>
      <c r="H5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6.7109375" customWidth="1"/>
    <col min="2" max="2" width="9.7109375" customWidth="1"/>
    <col min="3" max="3" width="11.7109375" customWidth="1"/>
    <col min="4" max="4" width="13.7109375" customWidth="1"/>
    <col min="5" max="5" width="14.7109375" customWidth="1"/>
    <col min="6" max="8" width="5.7109375" customWidth="1"/>
    <col min="9" max="9" width="21.7109375" customWidth="1"/>
  </cols>
  <sheetData>
    <row r="1" spans="1:9">
      <c r="A1" s="1" t="s">
        <v>58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>
      <c r="A2">
        <v>3</v>
      </c>
      <c r="B2" t="s">
        <v>66</v>
      </c>
      <c r="C2" t="s">
        <v>82</v>
      </c>
      <c r="D2" t="s">
        <v>83</v>
      </c>
      <c r="E2" t="s">
        <v>84</v>
      </c>
      <c r="F2" t="s">
        <v>11</v>
      </c>
      <c r="G2" t="s">
        <v>10</v>
      </c>
      <c r="H2" t="s">
        <v>69</v>
      </c>
      <c r="I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6.7109375" customWidth="1"/>
    <col min="2" max="3" width="9.7109375" customWidth="1"/>
    <col min="4" max="5" width="7.7109375" customWidth="1"/>
    <col min="6" max="6" width="40.7109375" customWidth="1"/>
    <col min="7" max="7" width="9.7109375" customWidth="1"/>
    <col min="8" max="8" width="8.7109375" customWidth="1"/>
    <col min="9" max="9" width="9.7109375" customWidth="1"/>
    <col min="10" max="10" width="8.7109375" customWidth="1"/>
    <col min="11" max="11" width="7.7109375" customWidth="1"/>
    <col min="12" max="12" width="8.7109375" customWidth="1"/>
    <col min="13" max="13" width="9.7109375" customWidth="1"/>
  </cols>
  <sheetData>
    <row r="1" spans="1:13">
      <c r="A1" s="1" t="s">
        <v>58</v>
      </c>
      <c r="B1" s="1" t="s">
        <v>18</v>
      </c>
      <c r="C1" s="1" t="s">
        <v>85</v>
      </c>
      <c r="D1" s="1" t="s">
        <v>86</v>
      </c>
      <c r="E1" s="1" t="s">
        <v>13</v>
      </c>
      <c r="F1" s="1" t="s">
        <v>87</v>
      </c>
      <c r="G1" s="1" t="s">
        <v>29</v>
      </c>
      <c r="H1" s="1" t="s">
        <v>88</v>
      </c>
      <c r="I1" s="1" t="s">
        <v>89</v>
      </c>
      <c r="J1" s="1" t="s">
        <v>30</v>
      </c>
      <c r="K1" s="1" t="s">
        <v>90</v>
      </c>
      <c r="L1" s="1" t="s">
        <v>91</v>
      </c>
      <c r="M1" s="1" t="s">
        <v>77</v>
      </c>
    </row>
    <row r="2" spans="1:13">
      <c r="A2">
        <v>1</v>
      </c>
      <c r="B2" t="s">
        <v>34</v>
      </c>
      <c r="C2" t="s">
        <v>92</v>
      </c>
      <c r="D2" t="s">
        <v>55</v>
      </c>
      <c r="E2" t="s">
        <v>53</v>
      </c>
      <c r="M2" t="s">
        <v>93</v>
      </c>
    </row>
    <row r="3" spans="1:13">
      <c r="A3">
        <v>2</v>
      </c>
      <c r="B3" t="s">
        <v>35</v>
      </c>
      <c r="C3" t="s">
        <v>92</v>
      </c>
      <c r="D3" t="s">
        <v>55</v>
      </c>
      <c r="E3" t="s">
        <v>53</v>
      </c>
      <c r="M3" t="s">
        <v>93</v>
      </c>
    </row>
    <row r="4" spans="1:13">
      <c r="A4">
        <v>3</v>
      </c>
      <c r="B4" t="s">
        <v>36</v>
      </c>
      <c r="C4" t="s">
        <v>92</v>
      </c>
      <c r="D4" t="s">
        <v>55</v>
      </c>
      <c r="E4" t="s">
        <v>53</v>
      </c>
      <c r="M4" t="s">
        <v>93</v>
      </c>
    </row>
    <row r="5" spans="1:13">
      <c r="A5">
        <v>4</v>
      </c>
      <c r="B5" t="s">
        <v>37</v>
      </c>
      <c r="C5" t="s">
        <v>92</v>
      </c>
      <c r="D5" t="s">
        <v>55</v>
      </c>
      <c r="E5" t="s">
        <v>14</v>
      </c>
      <c r="F5" t="s">
        <v>54</v>
      </c>
      <c r="M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票据明细</vt:lpstr>
      <vt:lpstr>操作历史</vt:lpstr>
      <vt:lpstr>复核记录</vt:lpstr>
      <vt:lpstr>证据明细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2026-05-31T00:54:03Z</dcterms:created>
  <dcterms:modified xsi:type="dcterms:W3CDTF">2026-05-31T00:54:03Z</dcterms:modified>
</cp:coreProperties>
</file>